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5"/>
    <sheet state="visible" name="Bar chart" sheetId="2" r:id="rId6"/>
  </sheets>
  <definedNames/>
  <calcPr/>
</workbook>
</file>

<file path=xl/sharedStrings.xml><?xml version="1.0" encoding="utf-8"?>
<sst xmlns="http://schemas.openxmlformats.org/spreadsheetml/2006/main" count="22" uniqueCount="22">
  <si>
    <t>Сheckout success control</t>
  </si>
  <si>
    <t>Total control</t>
  </si>
  <si>
    <t>Сheckout success test</t>
  </si>
  <si>
    <t>Total test</t>
  </si>
  <si>
    <t>CR control</t>
  </si>
  <si>
    <t>CR test</t>
  </si>
  <si>
    <t>p_pool</t>
  </si>
  <si>
    <t>SE</t>
  </si>
  <si>
    <t>Z-test</t>
  </si>
  <si>
    <t>p-value(two-sided)</t>
  </si>
  <si>
    <t>SE control</t>
  </si>
  <si>
    <t>SE test</t>
  </si>
  <si>
    <t>СI low control</t>
  </si>
  <si>
    <t>CI high control</t>
  </si>
  <si>
    <t>СI low test</t>
  </si>
  <si>
    <t>CI high test</t>
  </si>
  <si>
    <t>Группа</t>
  </si>
  <si>
    <t>CR</t>
  </si>
  <si>
    <t>CI low</t>
  </si>
  <si>
    <t>CI high</t>
  </si>
  <si>
    <t>Control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</si>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</sst>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0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3" numFmtId="0" xfId="0" applyFont="1"/>
    <xf borderId="0" fillId="0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 Confidence Intervals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'Bar chart'!$A$2:$A$3</c:f>
            </c:strRef>
          </c:cat>
          <c:val>
            <c:numRef>
              <c:f>'Bar chart'!$B$2:$B$3</c:f>
              <c:numCache/>
            </c:numRef>
          </c:val>
        </c:ser>
        <c:axId val="569833525"/>
        <c:axId val="2081779371"/>
      </c:barChart>
      <c:catAx>
        <c:axId val="569833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779371"/>
      </c:catAx>
      <c:valAx>
        <c:axId val="2081779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8335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4</xdr:row>
      <xdr:rowOff>85725</xdr:rowOff>
    </xdr:from>
    <xdr:ext cx="5715000" cy="3810000"/>
    <xdr:graphicFrame>
      <xdr:nvGraphicFramePr>
        <xdr:cNvPr id="1" name="Chart 1" title="CR Confidence Interva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B1" s="1" t="s">
        <v>0</v>
      </c>
      <c r="C1" s="1">
        <v>850.0</v>
      </c>
    </row>
    <row r="2">
      <c r="B2" s="1" t="s">
        <v>1</v>
      </c>
      <c r="C2" s="1">
        <v>1565.0</v>
      </c>
    </row>
    <row r="3">
      <c r="B3" s="1" t="s">
        <v>2</v>
      </c>
      <c r="C3" s="1">
        <v>900.0</v>
      </c>
    </row>
    <row r="4">
      <c r="B4" s="1" t="s">
        <v>3</v>
      </c>
      <c r="C4" s="1">
        <v>1565.0</v>
      </c>
    </row>
    <row r="5">
      <c r="B5" s="1" t="s">
        <v>4</v>
      </c>
      <c r="C5" s="2">
        <f>C1/C2</f>
        <v>0.5431309904</v>
      </c>
    </row>
    <row r="6">
      <c r="B6" s="1" t="s">
        <v>5</v>
      </c>
      <c r="C6" s="2">
        <f>C3/C4</f>
        <v>0.5750798722</v>
      </c>
    </row>
    <row r="7">
      <c r="B7" s="1" t="s">
        <v>6</v>
      </c>
      <c r="C7" s="2">
        <f>(C1+C3)/(C2+C4)</f>
        <v>0.5591054313</v>
      </c>
    </row>
    <row r="8">
      <c r="B8" s="1" t="s">
        <v>7</v>
      </c>
      <c r="C8" s="3">
        <f>SQRT(C7*(1-C7)*(1/C2+1/C4))</f>
        <v>0.01774892511</v>
      </c>
    </row>
    <row r="9">
      <c r="B9" s="1" t="s">
        <v>8</v>
      </c>
      <c r="C9" s="4">
        <f>(C6-C5)/C8</f>
        <v>1.800046008</v>
      </c>
    </row>
    <row r="10">
      <c r="B10" s="1" t="s">
        <v>9</v>
      </c>
      <c r="C10" s="5">
        <f>2*(1-_xlfn.NORM.S.DIST(ABS(C9),TRUE))</f>
        <v>0.07185337382</v>
      </c>
    </row>
    <row r="11">
      <c r="B11" s="1" t="s">
        <v>10</v>
      </c>
      <c r="C11" s="2">
        <f>SQRT(C5*(1-C5)/C2)</f>
        <v>0.01259189144</v>
      </c>
    </row>
    <row r="12">
      <c r="B12" s="1" t="s">
        <v>11</v>
      </c>
      <c r="C12" s="2">
        <f>SQRT(C6*(1-C6)/C4)</f>
        <v>0.01249569927</v>
      </c>
    </row>
    <row r="13">
      <c r="B13" s="1" t="s">
        <v>12</v>
      </c>
      <c r="C13" s="2">
        <f>C5-1.96*C11</f>
        <v>0.5184508832</v>
      </c>
    </row>
    <row r="14">
      <c r="B14" s="1" t="s">
        <v>13</v>
      </c>
      <c r="C14" s="2">
        <f>C5+1.96*C11</f>
        <v>0.5678110976</v>
      </c>
    </row>
    <row r="15">
      <c r="B15" s="1" t="s">
        <v>14</v>
      </c>
      <c r="C15" s="2">
        <f>C6-1.96*C12</f>
        <v>0.5505883016</v>
      </c>
      <c r="F15" s="6"/>
    </row>
    <row r="16">
      <c r="B16" s="1" t="s">
        <v>15</v>
      </c>
      <c r="C16" s="2">
        <f>C6+1.96*C12</f>
        <v>0.5995714428</v>
      </c>
      <c r="F16" s="7"/>
    </row>
    <row r="17">
      <c r="F17" s="7"/>
    </row>
    <row r="18">
      <c r="F18" s="7"/>
    </row>
    <row r="19">
      <c r="F19" s="7"/>
    </row>
    <row r="22">
      <c r="F22" s="6"/>
    </row>
    <row r="23">
      <c r="F23" s="7"/>
    </row>
    <row r="24">
      <c r="F24" s="7"/>
    </row>
    <row r="27">
      <c r="F27" s="6"/>
    </row>
    <row r="28">
      <c r="F28" s="8"/>
      <c r="G28" s="8"/>
      <c r="H28" s="8"/>
    </row>
    <row r="29">
      <c r="F29" s="7"/>
      <c r="G29" s="7"/>
      <c r="H29" s="9"/>
    </row>
    <row r="30">
      <c r="F30" s="7"/>
      <c r="G30" s="7"/>
      <c r="H30" s="7"/>
    </row>
    <row r="31">
      <c r="F31" s="7"/>
      <c r="G31" s="7"/>
      <c r="H3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</v>
      </c>
      <c r="B1" s="10" t="s">
        <v>17</v>
      </c>
      <c r="C1" s="10" t="s">
        <v>18</v>
      </c>
      <c r="D1" s="10" t="s">
        <v>19</v>
      </c>
    </row>
    <row r="2">
      <c r="A2" s="11" t="s">
        <v>20</v>
      </c>
      <c r="B2" s="12">
        <v>0.543</v>
      </c>
      <c r="C2" s="13">
        <v>0.5185</v>
      </c>
      <c r="D2" s="13">
        <v>0.5678</v>
      </c>
    </row>
    <row r="3">
      <c r="A3" s="11" t="s">
        <v>21</v>
      </c>
      <c r="B3" s="12">
        <v>0.575</v>
      </c>
      <c r="C3" s="13">
        <v>0.5506</v>
      </c>
      <c r="D3" s="13">
        <v>0.5996</v>
      </c>
    </row>
    <row r="28">
      <c r="E28" s="6"/>
    </row>
    <row r="29">
      <c r="E29" s="14"/>
    </row>
    <row r="30">
      <c r="E30" s="7"/>
    </row>
    <row r="31">
      <c r="E31" s="15"/>
    </row>
    <row r="32">
      <c r="E32" s="6"/>
    </row>
    <row r="33">
      <c r="E33" s="14"/>
    </row>
    <row r="34">
      <c r="E34" s="7"/>
    </row>
    <row r="35">
      <c r="E35" s="14"/>
    </row>
    <row r="36">
      <c r="E36" s="7"/>
    </row>
    <row r="37">
      <c r="E37" s="7"/>
    </row>
    <row r="38">
      <c r="E38" s="16"/>
    </row>
    <row r="39">
      <c r="E39" s="16"/>
    </row>
    <row r="40">
      <c r="E40" s="16"/>
    </row>
  </sheetData>
  <drawing r:id="rId1"/>
</worksheet>
</file>